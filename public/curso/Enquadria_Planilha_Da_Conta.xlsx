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" sheetId="1" state="visible" r:id="rId3"/>
    <sheet name="Anex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<sst xmlns="http://schemas.openxmlformats.org/spreadsheetml/2006/main" count="76" uniqueCount="73">
  <si>
    <t xml:space="preserve">A CONTA DA JANELA — IBS/CBS FORA DO DAS (opção de 1º a 30/09/2026)</t>
  </si>
  <si>
    <t xml:space="preserve">Resolução CGSN nº 186/2026 · efeito de janeiro a junho de 2027 · preencha somente as células de fundo azul-claro.</t>
  </si>
  <si>
    <t xml:space="preserve">ENTRADAS</t>
  </si>
  <si>
    <t xml:space="preserve">Razão social</t>
  </si>
  <si>
    <t xml:space="preserve">Sul Ferramentas Industriais Ltda</t>
  </si>
  <si>
    <t xml:space="preserve">CNPJ</t>
  </si>
  <si>
    <t xml:space="preserve">12.345.678/0001-90</t>
  </si>
  <si>
    <t xml:space="preserve">Anexo do Simples (1 a 5)</t>
  </si>
  <si>
    <t xml:space="preserve">RBT12 (R$)</t>
  </si>
  <si>
    <t xml:space="preserve">% da receita vendida para outras empresas (b2b)</t>
  </si>
  <si>
    <t xml:space="preserve">% desses clientes que aproveitam crédito integral (qual)</t>
  </si>
  <si>
    <t xml:space="preserve">% da receita em compras que geram crédito (cred)</t>
  </si>
  <si>
    <t xml:space="preserve">Alíquota IBS+CBS do cenário (padrão 0,088)</t>
  </si>
  <si>
    <t xml:space="preserve">Alíquota do cenário alternativo (padrão 0,094)</t>
  </si>
  <si>
    <t xml:space="preserve">Poder de renegociar preço (0 a 3)</t>
  </si>
  <si>
    <t xml:space="preserve">Valores de partida são exemplo de preenchimento. 0 = nenhum poder de renegociar preço · 3 = poder alto.</t>
  </si>
  <si>
    <t xml:space="preserve">CÁLCULO</t>
  </si>
  <si>
    <t xml:space="preserve">PASSO</t>
  </si>
  <si>
    <t xml:space="preserve">FÓRMULA</t>
  </si>
  <si>
    <t xml:space="preserve">CENÁRIO A — 8,8%</t>
  </si>
  <si>
    <t xml:space="preserve">CENÁRIO B — 9,4%</t>
  </si>
  <si>
    <t xml:space="preserve">1 · Faixa do Simples pela RBT12</t>
  </si>
  <si>
    <t xml:space="preserve">CORRESP(RBT12; pisos das faixas; 1)  →  PROCV na tabela do anexo</t>
  </si>
  <si>
    <t xml:space="preserve">2 · Alíquota efetiva do Simples</t>
  </si>
  <si>
    <t xml:space="preserve">(RBT12 × alíquota nominal − parcela a deduzir) ÷ RBT12</t>
  </si>
  <si>
    <t xml:space="preserve">3 · dDAS — parcela de PIS/Cofins já dentro do DAS</t>
  </si>
  <si>
    <t xml:space="preserve">dDAS = alíquota efetiva × partilha PIS/Cofins da faixa</t>
  </si>
  <si>
    <t xml:space="preserve">4 · rq — receita qualificada</t>
  </si>
  <si>
    <t xml:space="preserve">rq = b2b × qual</t>
  </si>
  <si>
    <t xml:space="preserve">5 · ch — custo cheio do IBS/CBS líquido de crédito</t>
  </si>
  <si>
    <t xml:space="preserve">ch = alíquota do cenário × (1 − cred)</t>
  </si>
  <si>
    <t xml:space="preserve">6 · cl — custo líquido acrescido</t>
  </si>
  <si>
    <t xml:space="preserve">cl = ch − dDAS</t>
  </si>
  <si>
    <t xml:space="preserve">7 · re — repasse exigido sobre a receita qualificada</t>
  </si>
  <si>
    <t xml:space="preserve">re = cl ÷ rq</t>
  </si>
  <si>
    <t xml:space="preserve">8 · fc — folga de crédito disponível ao comprador</t>
  </si>
  <si>
    <t xml:space="preserve">fc = alíquota do cenário − dDAS</t>
  </si>
  <si>
    <t xml:space="preserve">9 · folga — margem entre o crédito e o repasse</t>
  </si>
  <si>
    <t xml:space="preserve">folga = fc − re</t>
  </si>
  <si>
    <t xml:space="preserve">Passos 1 a 4 não dependem da alíquota do cenário; a coluna B repete o resultado da coluna A.</t>
  </si>
  <si>
    <t xml:space="preserve">RESULTADO</t>
  </si>
  <si>
    <t xml:space="preserve">SAÍDA DA ÁRVORE DE DECISÃO</t>
  </si>
  <si>
    <t xml:space="preserve">rq → cl → fc → re vs fc → poder de renegociação</t>
  </si>
  <si>
    <t xml:space="preserve">DECISÃO SUGERIDA</t>
  </si>
  <si>
    <t xml:space="preserve">Ganho estimado no ano (R$)</t>
  </si>
  <si>
    <t xml:space="preserve">folga × rq × RBT12</t>
  </si>
  <si>
    <t xml:space="preserve">Custo absorvido se o repasse não for aceito (R$)</t>
  </si>
  <si>
    <t xml:space="preserve">cl × RBT12</t>
  </si>
  <si>
    <t xml:space="preserve">Valores estimados a partir das premissas preenchidas. Não representam resultado assegurado.</t>
  </si>
  <si>
    <t xml:space="preserve">LEGENDA DAS SAÍDAS</t>
  </si>
  <si>
    <t xml:space="preserve">S1 · Não optar</t>
  </si>
  <si>
    <t xml:space="preserve">A conta não fecha: pouca receita qualificada, sem folga de crédito ou repasse exigido acima do que o comprador aproveita.</t>
  </si>
  <si>
    <t xml:space="preserve">S2 · Preparar a próxima janela</t>
  </si>
  <si>
    <t xml:space="preserve">A conta fecharia, mas não há poder de renegociar preço agora. Trabalhar contratos e retomar na janela seguinte.</t>
  </si>
  <si>
    <t xml:space="preserve">S3 · Zona de fronteira — decisão do empresário</t>
  </si>
  <si>
    <t xml:space="preserve">Repasse exigido próximo do limite do crédito. A margem é estreita; a escolha é do cliente, com a conta na mesa.</t>
  </si>
  <si>
    <t xml:space="preserve">S4 · Optar, condicionado a repasse</t>
  </si>
  <si>
    <t xml:space="preserve">Há folga entre o crédito do comprador e o repasse exigido. A opção depende de acordo comercial documentado.</t>
  </si>
  <si>
    <t xml:space="preserve">S5 · Optar por vantagem direta</t>
  </si>
  <si>
    <t xml:space="preserve">O custo líquido acrescido é nulo ou negativo: não depende de repasse ao cliente.</t>
  </si>
  <si>
    <t xml:space="preserve">A alíquota de referência de IBS/CBS só é fixada por Resolução do Senado até 31/10/2026 — depois do fechamento da janela. Estimativa de cenário; a responsabilidade técnica é do contador que assina.</t>
  </si>
  <si>
    <t xml:space="preserve">TABELAS DOS ANEXOS I A V DO SIMPLES NACIONAL</t>
  </si>
  <si>
    <t xml:space="preserve">Valores informados pelo autor do material (LC 123/2006, anexos I a V). A coluna Partilha PIS/Cofins é a parcela do DAS que já corresponde a PIS e Cofins e que deixa de ser recolhida no DAS caso a empresa opte pelo regime híbrido.</t>
  </si>
  <si>
    <t xml:space="preserve">Chave</t>
  </si>
  <si>
    <t xml:space="preserve">Anexo</t>
  </si>
  <si>
    <t xml:space="preserve">Faixa</t>
  </si>
  <si>
    <t xml:space="preserve">Receita de (R$)</t>
  </si>
  <si>
    <t xml:space="preserve">Receita até (R$)</t>
  </si>
  <si>
    <t xml:space="preserve">Alíquota nominal</t>
  </si>
  <si>
    <t xml:space="preserve">Parcela a deduzir (R$)</t>
  </si>
  <si>
    <t xml:space="preserve">Partilha PIS/Cofins</t>
  </si>
  <si>
    <t xml:space="preserve">Piso da faixa</t>
  </si>
  <si>
    <t xml:space="preserve">Lista usada pela CORRESP que identifica a faixa a partir do RBT12.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</si>
</sst>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"/>
    <numFmt numFmtId="167" formatCode="&quot;R$ &quot;#,##0"/>
    <numFmt numFmtId="168" formatCode="0.0%"/>
    <numFmt numFmtId="169" formatCode="0.000%"/>
    <numFmt numFmtId="170" formatCode="&quot;R$ &quot;#,##0;[RED]&quot;(R$ &quot;#,##0\);\-"/>
    <numFmt numFmtId="171" formatCode="#,##0"/>
    <numFmt numFmtId="172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sz val="10"/>
      <color rgb="FF64748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B122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B122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8"/>
      <color rgb="FF06B6D4"/>
      <name val="Calibri"/>
      <family val="0"/>
      <charset val="1"/>
    </font>
    <font>
      <b val="true"/>
      <sz val="14"/>
      <color rgb="FF0B1220"/>
      <name val="Calibri"/>
      <family val="0"/>
      <charset val="1"/>
    </font>
    <font>
      <b val="true"/>
      <sz val="12"/>
      <color rgb="FF0B1220"/>
      <name val="Calibri"/>
      <family val="0"/>
      <charset val="1"/>
    </font>
    <font>
      <b val="true"/>
      <sz val="10"/>
      <color rgb="FF0B1220"/>
      <name val="Calibri"/>
      <family val="0"/>
      <charset val="1"/>
    </font>
    <font>
      <sz val="10"/>
      <color rgb="FF0B122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220"/>
        <bgColor rgb="FF000000"/>
      </patternFill>
    </fill>
    <fill>
      <patternFill patternType="solid">
        <fgColor rgb="FF06B6D4"/>
        <bgColor rgb="FF33CCCC"/>
      </patternFill>
    </fill>
    <fill>
      <patternFill patternType="solid">
        <fgColor rgb="FFD7F4FA"/>
        <bgColor rgb="FFCCFFFF"/>
      </patternFill>
    </fill>
    <fill>
      <patternFill patternType="solid">
        <fgColor rgb="FFF1F5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 diagonalUp="false" diagonalDown="false">
      <left style="thin">
        <color rgb="FF64748B"/>
      </left>
      <right/>
      <top style="thin">
        <color rgb="FF64748B"/>
      </top>
      <bottom style="thin">
        <color rgb="FF647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D7F4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12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58"/>
    <col collapsed="false" customWidth="true" hidden="false" outlineLevel="0" max="4" min="3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24" hidden="false" customHeight="true" outlineLevel="0" collapsed="false">
      <c r="A4" s="3" t="s">
        <v>2</v>
      </c>
      <c r="B4" s="3"/>
      <c r="C4" s="3"/>
      <c r="D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6" t="n">
        <v>1</v>
      </c>
    </row>
    <row r="8" customFormat="false" ht="19.5" hidden="false" customHeight="true" outlineLevel="0" collapsed="false">
      <c r="A8" s="4" t="s">
        <v>8</v>
      </c>
      <c r="B8" s="7" t="n">
        <v>1850000</v>
      </c>
    </row>
    <row r="9" customFormat="false" ht="19.5" hidden="false" customHeight="true" outlineLevel="0" collapsed="false">
      <c r="A9" s="4" t="s">
        <v>9</v>
      </c>
      <c r="B9" s="8" t="n">
        <v>0.9</v>
      </c>
    </row>
    <row r="10" customFormat="false" ht="19.5" hidden="false" customHeight="true" outlineLevel="0" collapsed="false">
      <c r="A10" s="4" t="s">
        <v>10</v>
      </c>
      <c r="B10" s="8" t="n">
        <v>0.65</v>
      </c>
    </row>
    <row r="11" customFormat="false" ht="19.5" hidden="false" customHeight="true" outlineLevel="0" collapsed="false">
      <c r="A11" s="4" t="s">
        <v>11</v>
      </c>
      <c r="B11" s="8" t="n">
        <v>0.37</v>
      </c>
    </row>
    <row r="12" customFormat="false" ht="19.5" hidden="false" customHeight="true" outlineLevel="0" collapsed="false">
      <c r="A12" s="4" t="s">
        <v>12</v>
      </c>
      <c r="B12" s="9" t="n">
        <v>0.088</v>
      </c>
    </row>
    <row r="13" customFormat="false" ht="19.5" hidden="false" customHeight="true" outlineLevel="0" collapsed="false">
      <c r="A13" s="4" t="s">
        <v>13</v>
      </c>
      <c r="B13" s="9" t="n">
        <v>0.094</v>
      </c>
    </row>
    <row r="14" customFormat="false" ht="19.5" hidden="false" customHeight="true" outlineLevel="0" collapsed="false">
      <c r="A14" s="4" t="s">
        <v>14</v>
      </c>
      <c r="B14" s="6" t="n">
        <v>2</v>
      </c>
    </row>
    <row r="15" customFormat="false" ht="15" hidden="false" customHeight="false" outlineLevel="0" collapsed="false">
      <c r="A15" s="10" t="s">
        <v>15</v>
      </c>
      <c r="B15" s="10"/>
      <c r="C15" s="10"/>
      <c r="D15" s="10"/>
    </row>
    <row r="17" customFormat="false" ht="24" hidden="false" customHeight="true" outlineLevel="0" collapsed="false">
      <c r="A17" s="3" t="s">
        <v>16</v>
      </c>
      <c r="B17" s="3"/>
      <c r="C17" s="3"/>
      <c r="D17" s="3"/>
    </row>
    <row r="18" customFormat="false" ht="25.5" hidden="false" customHeight="true" outlineLevel="0" collapsed="false">
      <c r="A18" s="11" t="s">
        <v>17</v>
      </c>
      <c r="B18" s="11" t="s">
        <v>18</v>
      </c>
      <c r="C18" s="11" t="s">
        <v>19</v>
      </c>
      <c r="D18" s="11" t="s">
        <v>20</v>
      </c>
    </row>
    <row r="19" customFormat="false" ht="19.5" hidden="false" customHeight="true" outlineLevel="0" collapsed="false">
      <c r="A19" s="12" t="s">
        <v>21</v>
      </c>
      <c r="B19" s="13" t="s">
        <v>22</v>
      </c>
      <c r="C19" s="14" t="n">
        <f aca="false">IF(OR($B$8="",$B$7=""),"",IFERROR(MATCH($B$8,Anexos!$J$4:$J$9,1),""))</f>
        <v>5</v>
      </c>
      <c r="D19" s="14" t="n">
        <f aca="false">C19</f>
        <v>5</v>
      </c>
    </row>
    <row r="20" customFormat="false" ht="19.5" hidden="false" customHeight="true" outlineLevel="0" collapsed="false">
      <c r="A20" s="12" t="s">
        <v>23</v>
      </c>
      <c r="B20" s="13" t="s">
        <v>24</v>
      </c>
      <c r="C20" s="15" t="n">
        <f aca="false">IF($C$19="","",IFERROR(($B$8*VLOOKUP($B$7*10+$C$19,Anexos!$A$4:$H$33,6,FALSE())-VLOOKUP($B$7*10+$C$19,Anexos!$A$4:$H$33,7,FALSE()))/$B$8,""))</f>
        <v>0.0958108108108108</v>
      </c>
      <c r="D20" s="15" t="n">
        <f aca="false">C20</f>
        <v>0.0958108108108108</v>
      </c>
    </row>
    <row r="21" customFormat="false" ht="19.5" hidden="false" customHeight="true" outlineLevel="0" collapsed="false">
      <c r="A21" s="12" t="s">
        <v>25</v>
      </c>
      <c r="B21" s="13" t="s">
        <v>26</v>
      </c>
      <c r="C21" s="15" t="n">
        <f aca="false">IF($C$20="","",IFERROR($C$20*VLOOKUP($B$7*10+$C$19,Anexos!$A$4:$H$33,8,FALSE()),""))</f>
        <v>0.0148506756756757</v>
      </c>
      <c r="D21" s="15" t="n">
        <f aca="false">C21</f>
        <v>0.0148506756756757</v>
      </c>
    </row>
    <row r="22" customFormat="false" ht="19.5" hidden="false" customHeight="true" outlineLevel="0" collapsed="false">
      <c r="A22" s="12" t="s">
        <v>27</v>
      </c>
      <c r="B22" s="13" t="s">
        <v>28</v>
      </c>
      <c r="C22" s="16" t="n">
        <f aca="false">IF(OR($B$9="",$B$10=""),"",$B$9*$B$10)</f>
        <v>0.585</v>
      </c>
      <c r="D22" s="16" t="n">
        <f aca="false">C22</f>
        <v>0.585</v>
      </c>
    </row>
    <row r="23" customFormat="false" ht="19.5" hidden="false" customHeight="true" outlineLevel="0" collapsed="false">
      <c r="A23" s="12" t="s">
        <v>29</v>
      </c>
      <c r="B23" s="13" t="s">
        <v>30</v>
      </c>
      <c r="C23" s="15" t="n">
        <f aca="false">IF(OR($B$12="",$B$11=""),"",$B$12*(1-$B$11))</f>
        <v>0.05544</v>
      </c>
      <c r="D23" s="15" t="n">
        <f aca="false">IF(OR($B$13="",$B$11=""),"",$B$13*(1-$B$11))</f>
        <v>0.05922</v>
      </c>
    </row>
    <row r="24" customFormat="false" ht="19.5" hidden="false" customHeight="true" outlineLevel="0" collapsed="false">
      <c r="A24" s="12" t="s">
        <v>31</v>
      </c>
      <c r="B24" s="13" t="s">
        <v>32</v>
      </c>
      <c r="C24" s="15" t="n">
        <f aca="false">IF(OR(C23="",$C$21=""),"",C23-$C$21)</f>
        <v>0.0405893243243243</v>
      </c>
      <c r="D24" s="15" t="n">
        <f aca="false">IF(OR(D23="",$C$21=""),"",D23-$C$21)</f>
        <v>0.0443693243243243</v>
      </c>
    </row>
    <row r="25" customFormat="false" ht="19.5" hidden="false" customHeight="true" outlineLevel="0" collapsed="false">
      <c r="A25" s="12" t="s">
        <v>33</v>
      </c>
      <c r="B25" s="13" t="s">
        <v>34</v>
      </c>
      <c r="C25" s="15" t="n">
        <f aca="false">IF(OR(C24="",$C$22="",$C$22=0),"",C24/$C$22)</f>
        <v>0.0693834603834604</v>
      </c>
      <c r="D25" s="15" t="n">
        <f aca="false">IF(OR(D24="",$C$22="",$C$22=0),"",D24/$C$22)</f>
        <v>0.0758449988449988</v>
      </c>
    </row>
    <row r="26" customFormat="false" ht="19.5" hidden="false" customHeight="true" outlineLevel="0" collapsed="false">
      <c r="A26" s="12" t="s">
        <v>35</v>
      </c>
      <c r="B26" s="13" t="s">
        <v>36</v>
      </c>
      <c r="C26" s="15" t="n">
        <f aca="false">IF(OR($B$12="",$C$21=""),"",$B$12-$C$21)</f>
        <v>0.0731493243243243</v>
      </c>
      <c r="D26" s="15" t="n">
        <f aca="false">IF(OR($B$13="",$C$21=""),"",$B$13-$C$21)</f>
        <v>0.0791493243243243</v>
      </c>
    </row>
    <row r="27" customFormat="false" ht="19.5" hidden="false" customHeight="true" outlineLevel="0" collapsed="false">
      <c r="A27" s="12" t="s">
        <v>37</v>
      </c>
      <c r="B27" s="13" t="s">
        <v>38</v>
      </c>
      <c r="C27" s="15" t="n">
        <f aca="false">IF(OR(C26="",C25=""),"",C26-C25)</f>
        <v>0.00376586394086395</v>
      </c>
      <c r="D27" s="15" t="n">
        <f aca="false">IF(OR(D26="",D25=""),"",D26-D25)</f>
        <v>0.00330432547932549</v>
      </c>
    </row>
    <row r="28" customFormat="false" ht="15" hidden="false" customHeight="false" outlineLevel="0" collapsed="false">
      <c r="A28" s="10" t="s">
        <v>39</v>
      </c>
      <c r="B28" s="10"/>
      <c r="C28" s="10"/>
      <c r="D28" s="10"/>
    </row>
    <row r="30" customFormat="false" ht="24" hidden="false" customHeight="true" outlineLevel="0" collapsed="false">
      <c r="A30" s="3" t="s">
        <v>40</v>
      </c>
      <c r="B30" s="3"/>
      <c r="C30" s="3"/>
      <c r="D30" s="3"/>
    </row>
    <row r="31" customFormat="false" ht="15" hidden="false" customHeight="false" outlineLevel="0" collapsed="false">
      <c r="A31" s="17" t="s">
        <v>41</v>
      </c>
      <c r="B31" s="18" t="s">
        <v>42</v>
      </c>
      <c r="C31" s="19" t="s">
        <v>19</v>
      </c>
      <c r="D31" s="19" t="s">
        <v>20</v>
      </c>
    </row>
    <row r="32" customFormat="false" ht="54" hidden="false" customHeight="true" outlineLevel="0" collapsed="false">
      <c r="A32" s="20" t="s">
        <v>43</v>
      </c>
      <c r="B32" s="20"/>
      <c r="C32" s="21" t="str">
        <f aca="false">IF(OR($C$22="",C24=""),"",IF($C$22&lt;0.3,"S1 · Não optar",IF(C24&lt;=0,"S5 · Optar por vantagem direta",IF(C26&lt;=0,"S1 · Não optar",IF(C25&gt;C26*1.2,"S1 · Não optar",IF($B$14&lt;=1,"S2 · Preparar a próxima janela",IF(C25&gt;=C26*0.8,"S3 · Zona de fronteira — decisão do empresário","S4 · Optar, condicionado a repasse")))))))</f>
        <v>S3 · Zona de fronteira — decisão do empresário</v>
      </c>
      <c r="D32" s="21" t="str">
        <f aca="false">IF(OR($C$22="",D24=""),"",IF($C$22&lt;0.3,"S1 · Não optar",IF(D24&lt;=0,"S5 · Optar por vantagem direta",IF(D26&lt;=0,"S1 · Não optar",IF(D25&gt;D26*1.2,"S1 · Não optar",IF($B$14&lt;=1,"S2 · Preparar a próxima janela",IF(D25&gt;=D26*0.8,"S3 · Zona de fronteira — decisão do empresário","S4 · Optar, condicionado a repasse")))))))</f>
        <v>S3 · Zona de fronteira — decisão do empresário</v>
      </c>
    </row>
    <row r="34" customFormat="false" ht="21.75" hidden="false" customHeight="true" outlineLevel="0" collapsed="false">
      <c r="A34" s="12" t="s">
        <v>44</v>
      </c>
      <c r="B34" s="13" t="s">
        <v>45</v>
      </c>
      <c r="C34" s="22" t="n">
        <f aca="false">IF(OR(C27="",$C$22="",$B$8=""),"",C27*$C$22*$B$8)</f>
        <v>4075.60625000001</v>
      </c>
      <c r="D34" s="22" t="n">
        <f aca="false">IF(OR(D27="",$C$22="",$B$8=""),"",D27*$C$22*$B$8)</f>
        <v>3576.10625000002</v>
      </c>
    </row>
    <row r="35" customFormat="false" ht="21.75" hidden="false" customHeight="true" outlineLevel="0" collapsed="false">
      <c r="A35" s="12" t="s">
        <v>46</v>
      </c>
      <c r="B35" s="13" t="s">
        <v>47</v>
      </c>
      <c r="C35" s="22" t="n">
        <f aca="false">IF(OR(C24="",$B$8=""),"",C24*$B$8)</f>
        <v>75090.25</v>
      </c>
      <c r="D35" s="22" t="n">
        <f aca="false">IF(OR(D24="",$B$8=""),"",D24*$B$8)</f>
        <v>82083.25</v>
      </c>
    </row>
    <row r="36" customFormat="false" ht="15" hidden="false" customHeight="false" outlineLevel="0" collapsed="false">
      <c r="A36" s="10" t="s">
        <v>48</v>
      </c>
      <c r="B36" s="10"/>
      <c r="C36" s="10"/>
      <c r="D36" s="10"/>
    </row>
    <row r="38" customFormat="false" ht="24" hidden="false" customHeight="true" outlineLevel="0" collapsed="false">
      <c r="A38" s="3" t="s">
        <v>49</v>
      </c>
      <c r="B38" s="3"/>
      <c r="C38" s="3"/>
      <c r="D38" s="3"/>
    </row>
    <row r="39" customFormat="false" ht="27.75" hidden="false" customHeight="true" outlineLevel="0" collapsed="false">
      <c r="A39" s="23" t="s">
        <v>50</v>
      </c>
      <c r="B39" s="24" t="s">
        <v>51</v>
      </c>
      <c r="C39" s="24"/>
      <c r="D39" s="24"/>
    </row>
    <row r="40" customFormat="false" ht="27.75" hidden="false" customHeight="true" outlineLevel="0" collapsed="false">
      <c r="A40" s="23" t="s">
        <v>52</v>
      </c>
      <c r="B40" s="24" t="s">
        <v>53</v>
      </c>
      <c r="C40" s="24"/>
      <c r="D40" s="24"/>
    </row>
    <row r="41" customFormat="false" ht="27.75" hidden="false" customHeight="true" outlineLevel="0" collapsed="false">
      <c r="A41" s="23" t="s">
        <v>54</v>
      </c>
      <c r="B41" s="24" t="s">
        <v>55</v>
      </c>
      <c r="C41" s="24"/>
      <c r="D41" s="24"/>
    </row>
    <row r="42" customFormat="false" ht="27.75" hidden="false" customHeight="true" outlineLevel="0" collapsed="false">
      <c r="A42" s="23" t="s">
        <v>56</v>
      </c>
      <c r="B42" s="24" t="s">
        <v>57</v>
      </c>
      <c r="C42" s="24"/>
      <c r="D42" s="24"/>
    </row>
    <row r="43" customFormat="false" ht="27.75" hidden="false" customHeight="true" outlineLevel="0" collapsed="false">
      <c r="A43" s="23" t="s">
        <v>58</v>
      </c>
      <c r="B43" s="24" t="s">
        <v>59</v>
      </c>
      <c r="C43" s="24"/>
      <c r="D43" s="24"/>
    </row>
    <row r="45" customFormat="false" ht="31.5" hidden="false" customHeight="true" outlineLevel="0" collapsed="false">
      <c r="A45" s="25" t="s">
        <v>60</v>
      </c>
      <c r="B45" s="25"/>
      <c r="C45" s="25"/>
      <c r="D45" s="25"/>
    </row>
  </sheetData>
  <mergeCells count="16">
    <mergeCell ref="A1:D1"/>
    <mergeCell ref="A2:D2"/>
    <mergeCell ref="A4:D4"/>
    <mergeCell ref="A15:D15"/>
    <mergeCell ref="A17:D17"/>
    <mergeCell ref="A28:D28"/>
    <mergeCell ref="A30:D30"/>
    <mergeCell ref="A32:B32"/>
    <mergeCell ref="A36:D36"/>
    <mergeCell ref="A38:D38"/>
    <mergeCell ref="B39:D39"/>
    <mergeCell ref="B40:D40"/>
    <mergeCell ref="B41:D41"/>
    <mergeCell ref="B42:D42"/>
    <mergeCell ref="B43:D43"/>
    <mergeCell ref="A45:D45"/>
  </mergeCells>
  <dataValidations count="3">
    <dataValidation allowBlank="true" error="Informe um número inteiro de 1 a 5." errorStyle="stop" errorTitle="Anexo inválido" operator="between" showDropDown="false" showErrorMessage="true" showInputMessage="false" sqref="B7" type="whole">
      <formula1>1</formula1>
      <formula2>5</formula2>
    </dataValidation>
    <dataValidation allowBlank="true" error="Informe um valor entre 0 e 1 (por exemplo, 0,65 para 65%)." errorStyle="stop" errorTitle="Percentual inválido" operator="between" showDropDown="false" showErrorMessage="true" showInputMessage="false" sqref="B9:B13" type="decimal">
      <formula1>0</formula1>
      <formula2>1</formula2>
    </dataValidation>
    <dataValidation allowBlank="true" error="Informe 0, 1, 2 ou 3." errorStyle="stop" errorTitle="Poder de renegociação" operator="between" showDropDown="false" showErrorMessage="true" showInputMessage="false" sqref="B14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5" t="s">
        <v>62</v>
      </c>
      <c r="B2" s="25"/>
      <c r="C2" s="25"/>
      <c r="D2" s="25"/>
      <c r="E2" s="25"/>
      <c r="F2" s="25"/>
      <c r="G2" s="25"/>
      <c r="H2" s="25"/>
    </row>
    <row r="3" customFormat="false" ht="30" hidden="false" customHeight="true" outlineLevel="0" collapsed="false">
      <c r="A3" s="11" t="s">
        <v>63</v>
      </c>
      <c r="B3" s="11" t="s">
        <v>64</v>
      </c>
      <c r="C3" s="11" t="s">
        <v>65</v>
      </c>
      <c r="D3" s="11" t="s">
        <v>66</v>
      </c>
      <c r="E3" s="11" t="s">
        <v>67</v>
      </c>
      <c r="F3" s="11" t="s">
        <v>68</v>
      </c>
      <c r="G3" s="11" t="s">
        <v>69</v>
      </c>
      <c r="H3" s="11" t="s">
        <v>70</v>
      </c>
      <c r="J3" s="26" t="s">
        <v>71</v>
      </c>
    </row>
    <row r="4" customFormat="false" ht="15" hidden="false" customHeight="false" outlineLevel="0" collapsed="false">
      <c r="A4" s="27" t="n">
        <v>11</v>
      </c>
      <c r="B4" s="27" t="n">
        <v>1</v>
      </c>
      <c r="C4" s="27" t="n">
        <v>1</v>
      </c>
      <c r="D4" s="28" t="n">
        <v>0</v>
      </c>
      <c r="E4" s="28" t="n">
        <v>180000</v>
      </c>
      <c r="F4" s="29" t="n">
        <v>0.04</v>
      </c>
      <c r="G4" s="28" t="n">
        <v>0</v>
      </c>
      <c r="H4" s="29" t="n">
        <v>0.155</v>
      </c>
      <c r="J4" s="30" t="n">
        <v>0</v>
      </c>
    </row>
    <row r="5" customFormat="false" ht="15" hidden="false" customHeight="false" outlineLevel="0" collapsed="false">
      <c r="A5" s="31" t="n">
        <v>12</v>
      </c>
      <c r="B5" s="31" t="n">
        <v>1</v>
      </c>
      <c r="C5" s="31" t="n">
        <v>2</v>
      </c>
      <c r="D5" s="30" t="n">
        <v>180000</v>
      </c>
      <c r="E5" s="30" t="n">
        <v>360000</v>
      </c>
      <c r="F5" s="32" t="n">
        <v>0.073</v>
      </c>
      <c r="G5" s="30" t="n">
        <v>5940</v>
      </c>
      <c r="H5" s="32" t="n">
        <v>0.155</v>
      </c>
      <c r="J5" s="30" t="n">
        <v>180000</v>
      </c>
    </row>
    <row r="6" customFormat="false" ht="15" hidden="false" customHeight="false" outlineLevel="0" collapsed="false">
      <c r="A6" s="31" t="n">
        <v>13</v>
      </c>
      <c r="B6" s="31" t="n">
        <v>1</v>
      </c>
      <c r="C6" s="31" t="n">
        <v>3</v>
      </c>
      <c r="D6" s="30" t="n">
        <v>360000</v>
      </c>
      <c r="E6" s="30" t="n">
        <v>720000</v>
      </c>
      <c r="F6" s="32" t="n">
        <v>0.095</v>
      </c>
      <c r="G6" s="30" t="n">
        <v>13860</v>
      </c>
      <c r="H6" s="32" t="n">
        <v>0.155</v>
      </c>
      <c r="J6" s="30" t="n">
        <v>360000</v>
      </c>
    </row>
    <row r="7" customFormat="false" ht="15" hidden="false" customHeight="false" outlineLevel="0" collapsed="false">
      <c r="A7" s="31" t="n">
        <v>14</v>
      </c>
      <c r="B7" s="31" t="n">
        <v>1</v>
      </c>
      <c r="C7" s="31" t="n">
        <v>4</v>
      </c>
      <c r="D7" s="30" t="n">
        <v>720000</v>
      </c>
      <c r="E7" s="30" t="n">
        <v>1800000</v>
      </c>
      <c r="F7" s="32" t="n">
        <v>0.107</v>
      </c>
      <c r="G7" s="30" t="n">
        <v>22500</v>
      </c>
      <c r="H7" s="32" t="n">
        <v>0.155</v>
      </c>
      <c r="J7" s="30" t="n">
        <v>720000</v>
      </c>
    </row>
    <row r="8" customFormat="false" ht="15" hidden="false" customHeight="false" outlineLevel="0" collapsed="false">
      <c r="A8" s="31" t="n">
        <v>15</v>
      </c>
      <c r="B8" s="31" t="n">
        <v>1</v>
      </c>
      <c r="C8" s="31" t="n">
        <v>5</v>
      </c>
      <c r="D8" s="30" t="n">
        <v>1800000</v>
      </c>
      <c r="E8" s="30" t="n">
        <v>3600000</v>
      </c>
      <c r="F8" s="32" t="n">
        <v>0.143</v>
      </c>
      <c r="G8" s="30" t="n">
        <v>87300</v>
      </c>
      <c r="H8" s="32" t="n">
        <v>0.155</v>
      </c>
      <c r="J8" s="30" t="n">
        <v>1800000</v>
      </c>
    </row>
    <row r="9" customFormat="false" ht="15" hidden="false" customHeight="false" outlineLevel="0" collapsed="false">
      <c r="A9" s="31" t="n">
        <v>16</v>
      </c>
      <c r="B9" s="31" t="n">
        <v>1</v>
      </c>
      <c r="C9" s="31" t="n">
        <v>6</v>
      </c>
      <c r="D9" s="30" t="n">
        <v>3600000</v>
      </c>
      <c r="E9" s="30" t="n">
        <v>4800000</v>
      </c>
      <c r="F9" s="32" t="n">
        <v>0.19</v>
      </c>
      <c r="G9" s="30" t="n">
        <v>378000</v>
      </c>
      <c r="H9" s="32" t="n">
        <v>0.344</v>
      </c>
      <c r="J9" s="30" t="n">
        <v>3600000</v>
      </c>
    </row>
    <row r="10" customFormat="false" ht="15" hidden="false" customHeight="false" outlineLevel="0" collapsed="false">
      <c r="A10" s="27" t="n">
        <v>21</v>
      </c>
      <c r="B10" s="27" t="n">
        <v>2</v>
      </c>
      <c r="C10" s="27" t="n">
        <v>1</v>
      </c>
      <c r="D10" s="28" t="n">
        <v>0</v>
      </c>
      <c r="E10" s="28" t="n">
        <v>180000</v>
      </c>
      <c r="F10" s="29" t="n">
        <v>0.045</v>
      </c>
      <c r="G10" s="28" t="n">
        <v>0</v>
      </c>
      <c r="H10" s="29" t="n">
        <v>0.14</v>
      </c>
    </row>
    <row r="11" customFormat="false" ht="15" hidden="false" customHeight="false" outlineLevel="0" collapsed="false">
      <c r="A11" s="31" t="n">
        <v>22</v>
      </c>
      <c r="B11" s="31" t="n">
        <v>2</v>
      </c>
      <c r="C11" s="31" t="n">
        <v>2</v>
      </c>
      <c r="D11" s="30" t="n">
        <v>180000</v>
      </c>
      <c r="E11" s="30" t="n">
        <v>360000</v>
      </c>
      <c r="F11" s="32" t="n">
        <v>0.078</v>
      </c>
      <c r="G11" s="30" t="n">
        <v>5940</v>
      </c>
      <c r="H11" s="32" t="n">
        <v>0.14</v>
      </c>
      <c r="J11" s="33" t="s">
        <v>72</v>
      </c>
    </row>
    <row r="12" customFormat="false" ht="15" hidden="false" customHeight="false" outlineLevel="0" collapsed="false">
      <c r="A12" s="31" t="n">
        <v>23</v>
      </c>
      <c r="B12" s="31" t="n">
        <v>2</v>
      </c>
      <c r="C12" s="31" t="n">
        <v>3</v>
      </c>
      <c r="D12" s="30" t="n">
        <v>360000</v>
      </c>
      <c r="E12" s="30" t="n">
        <v>720000</v>
      </c>
      <c r="F12" s="32" t="n">
        <v>0.1</v>
      </c>
      <c r="G12" s="30" t="n">
        <v>13860</v>
      </c>
      <c r="H12" s="32" t="n">
        <v>0.14</v>
      </c>
    </row>
    <row r="13" customFormat="false" ht="15" hidden="false" customHeight="false" outlineLevel="0" collapsed="false">
      <c r="A13" s="31" t="n">
        <v>24</v>
      </c>
      <c r="B13" s="31" t="n">
        <v>2</v>
      </c>
      <c r="C13" s="31" t="n">
        <v>4</v>
      </c>
      <c r="D13" s="30" t="n">
        <v>720000</v>
      </c>
      <c r="E13" s="30" t="n">
        <v>1800000</v>
      </c>
      <c r="F13" s="32" t="n">
        <v>0.112</v>
      </c>
      <c r="G13" s="30" t="n">
        <v>22500</v>
      </c>
      <c r="H13" s="32" t="n">
        <v>0.14</v>
      </c>
    </row>
    <row r="14" customFormat="false" ht="15" hidden="false" customHeight="false" outlineLevel="0" collapsed="false">
      <c r="A14" s="31" t="n">
        <v>25</v>
      </c>
      <c r="B14" s="31" t="n">
        <v>2</v>
      </c>
      <c r="C14" s="31" t="n">
        <v>5</v>
      </c>
      <c r="D14" s="30" t="n">
        <v>1800000</v>
      </c>
      <c r="E14" s="30" t="n">
        <v>3600000</v>
      </c>
      <c r="F14" s="32" t="n">
        <v>0.147</v>
      </c>
      <c r="G14" s="30" t="n">
        <v>85500</v>
      </c>
      <c r="H14" s="32" t="n">
        <v>0.14</v>
      </c>
    </row>
    <row r="15" customFormat="false" ht="15" hidden="false" customHeight="false" outlineLevel="0" collapsed="false">
      <c r="A15" s="31" t="n">
        <v>26</v>
      </c>
      <c r="B15" s="31" t="n">
        <v>2</v>
      </c>
      <c r="C15" s="31" t="n">
        <v>6</v>
      </c>
      <c r="D15" s="30" t="n">
        <v>3600000</v>
      </c>
      <c r="E15" s="30" t="n">
        <v>4800000</v>
      </c>
      <c r="F15" s="32" t="n">
        <v>0.3</v>
      </c>
      <c r="G15" s="30" t="n">
        <v>720000</v>
      </c>
      <c r="H15" s="32" t="n">
        <v>0.255</v>
      </c>
    </row>
    <row r="16" customFormat="false" ht="15" hidden="false" customHeight="false" outlineLevel="0" collapsed="false">
      <c r="A16" s="27" t="n">
        <v>31</v>
      </c>
      <c r="B16" s="27" t="n">
        <v>3</v>
      </c>
      <c r="C16" s="27" t="n">
        <v>1</v>
      </c>
      <c r="D16" s="28" t="n">
        <v>0</v>
      </c>
      <c r="E16" s="28" t="n">
        <v>180000</v>
      </c>
      <c r="F16" s="29" t="n">
        <v>0.06</v>
      </c>
      <c r="G16" s="28" t="n">
        <v>0</v>
      </c>
      <c r="H16" s="29" t="n">
        <v>0.156</v>
      </c>
    </row>
    <row r="17" customFormat="false" ht="15" hidden="false" customHeight="false" outlineLevel="0" collapsed="false">
      <c r="A17" s="31" t="n">
        <v>32</v>
      </c>
      <c r="B17" s="31" t="n">
        <v>3</v>
      </c>
      <c r="C17" s="31" t="n">
        <v>2</v>
      </c>
      <c r="D17" s="30" t="n">
        <v>180000</v>
      </c>
      <c r="E17" s="30" t="n">
        <v>360000</v>
      </c>
      <c r="F17" s="32" t="n">
        <v>0.112</v>
      </c>
      <c r="G17" s="30" t="n">
        <v>9360</v>
      </c>
      <c r="H17" s="32" t="n">
        <v>0.171</v>
      </c>
    </row>
    <row r="18" customFormat="false" ht="15" hidden="false" customHeight="false" outlineLevel="0" collapsed="false">
      <c r="A18" s="31" t="n">
        <v>33</v>
      </c>
      <c r="B18" s="31" t="n">
        <v>3</v>
      </c>
      <c r="C18" s="31" t="n">
        <v>3</v>
      </c>
      <c r="D18" s="30" t="n">
        <v>360000</v>
      </c>
      <c r="E18" s="30" t="n">
        <v>720000</v>
      </c>
      <c r="F18" s="32" t="n">
        <v>0.135</v>
      </c>
      <c r="G18" s="30" t="n">
        <v>17640</v>
      </c>
      <c r="H18" s="32" t="n">
        <v>0.166</v>
      </c>
    </row>
    <row r="19" customFormat="false" ht="15" hidden="false" customHeight="false" outlineLevel="0" collapsed="false">
      <c r="A19" s="31" t="n">
        <v>34</v>
      </c>
      <c r="B19" s="31" t="n">
        <v>3</v>
      </c>
      <c r="C19" s="31" t="n">
        <v>4</v>
      </c>
      <c r="D19" s="30" t="n">
        <v>720000</v>
      </c>
      <c r="E19" s="30" t="n">
        <v>1800000</v>
      </c>
      <c r="F19" s="32" t="n">
        <v>0.16</v>
      </c>
      <c r="G19" s="30" t="n">
        <v>35640</v>
      </c>
      <c r="H19" s="32" t="n">
        <v>0.166</v>
      </c>
    </row>
    <row r="20" customFormat="false" ht="15" hidden="false" customHeight="false" outlineLevel="0" collapsed="false">
      <c r="A20" s="31" t="n">
        <v>35</v>
      </c>
      <c r="B20" s="31" t="n">
        <v>3</v>
      </c>
      <c r="C20" s="31" t="n">
        <v>5</v>
      </c>
      <c r="D20" s="30" t="n">
        <v>1800000</v>
      </c>
      <c r="E20" s="30" t="n">
        <v>3600000</v>
      </c>
      <c r="F20" s="32" t="n">
        <v>0.21</v>
      </c>
      <c r="G20" s="30" t="n">
        <v>125640</v>
      </c>
      <c r="H20" s="32" t="n">
        <v>0.156</v>
      </c>
    </row>
    <row r="21" customFormat="false" ht="15" hidden="false" customHeight="false" outlineLevel="0" collapsed="false">
      <c r="A21" s="31" t="n">
        <v>36</v>
      </c>
      <c r="B21" s="31" t="n">
        <v>3</v>
      </c>
      <c r="C21" s="31" t="n">
        <v>6</v>
      </c>
      <c r="D21" s="30" t="n">
        <v>3600000</v>
      </c>
      <c r="E21" s="30" t="n">
        <v>4800000</v>
      </c>
      <c r="F21" s="32" t="n">
        <v>0.33</v>
      </c>
      <c r="G21" s="30" t="n">
        <v>648000</v>
      </c>
      <c r="H21" s="32" t="n">
        <v>0.195</v>
      </c>
    </row>
    <row r="22" customFormat="false" ht="15" hidden="false" customHeight="false" outlineLevel="0" collapsed="false">
      <c r="A22" s="27" t="n">
        <v>41</v>
      </c>
      <c r="B22" s="27" t="n">
        <v>4</v>
      </c>
      <c r="C22" s="27" t="n">
        <v>1</v>
      </c>
      <c r="D22" s="28" t="n">
        <v>0</v>
      </c>
      <c r="E22" s="28" t="n">
        <v>180000</v>
      </c>
      <c r="F22" s="29" t="n">
        <v>0.045</v>
      </c>
      <c r="G22" s="28" t="n">
        <v>0</v>
      </c>
      <c r="H22" s="29" t="n">
        <v>0.215</v>
      </c>
    </row>
    <row r="23" customFormat="false" ht="15" hidden="false" customHeight="false" outlineLevel="0" collapsed="false">
      <c r="A23" s="31" t="n">
        <v>42</v>
      </c>
      <c r="B23" s="31" t="n">
        <v>4</v>
      </c>
      <c r="C23" s="31" t="n">
        <v>2</v>
      </c>
      <c r="D23" s="30" t="n">
        <v>180000</v>
      </c>
      <c r="E23" s="30" t="n">
        <v>360000</v>
      </c>
      <c r="F23" s="32" t="n">
        <v>0.09</v>
      </c>
      <c r="G23" s="30" t="n">
        <v>8100</v>
      </c>
      <c r="H23" s="32" t="n">
        <v>0.25</v>
      </c>
    </row>
    <row r="24" customFormat="false" ht="15" hidden="false" customHeight="false" outlineLevel="0" collapsed="false">
      <c r="A24" s="31" t="n">
        <v>43</v>
      </c>
      <c r="B24" s="31" t="n">
        <v>4</v>
      </c>
      <c r="C24" s="31" t="n">
        <v>3</v>
      </c>
      <c r="D24" s="30" t="n">
        <v>360000</v>
      </c>
      <c r="E24" s="30" t="n">
        <v>720000</v>
      </c>
      <c r="F24" s="32" t="n">
        <v>0.102</v>
      </c>
      <c r="G24" s="30" t="n">
        <v>12420</v>
      </c>
      <c r="H24" s="32" t="n">
        <v>0.24</v>
      </c>
    </row>
    <row r="25" customFormat="false" ht="15" hidden="false" customHeight="false" outlineLevel="0" collapsed="false">
      <c r="A25" s="31" t="n">
        <v>44</v>
      </c>
      <c r="B25" s="31" t="n">
        <v>4</v>
      </c>
      <c r="C25" s="31" t="n">
        <v>4</v>
      </c>
      <c r="D25" s="30" t="n">
        <v>720000</v>
      </c>
      <c r="E25" s="30" t="n">
        <v>1800000</v>
      </c>
      <c r="F25" s="32" t="n">
        <v>0.14</v>
      </c>
      <c r="G25" s="30" t="n">
        <v>39780</v>
      </c>
      <c r="H25" s="32" t="n">
        <v>0.23</v>
      </c>
    </row>
    <row r="26" customFormat="false" ht="15" hidden="false" customHeight="false" outlineLevel="0" collapsed="false">
      <c r="A26" s="31" t="n">
        <v>45</v>
      </c>
      <c r="B26" s="31" t="n">
        <v>4</v>
      </c>
      <c r="C26" s="31" t="n">
        <v>5</v>
      </c>
      <c r="D26" s="30" t="n">
        <v>1800000</v>
      </c>
      <c r="E26" s="30" t="n">
        <v>3600000</v>
      </c>
      <c r="F26" s="32" t="n">
        <v>0.22</v>
      </c>
      <c r="G26" s="30" t="n">
        <v>183780</v>
      </c>
      <c r="H26" s="32" t="n">
        <v>0.22</v>
      </c>
    </row>
    <row r="27" customFormat="false" ht="15" hidden="false" customHeight="false" outlineLevel="0" collapsed="false">
      <c r="A27" s="31" t="n">
        <v>46</v>
      </c>
      <c r="B27" s="31" t="n">
        <v>4</v>
      </c>
      <c r="C27" s="31" t="n">
        <v>6</v>
      </c>
      <c r="D27" s="30" t="n">
        <v>3600000</v>
      </c>
      <c r="E27" s="30" t="n">
        <v>4800000</v>
      </c>
      <c r="F27" s="32" t="n">
        <v>0.33</v>
      </c>
      <c r="G27" s="30" t="n">
        <v>828000</v>
      </c>
      <c r="H27" s="32" t="n">
        <v>0.25</v>
      </c>
    </row>
    <row r="28" customFormat="false" ht="15" hidden="false" customHeight="false" outlineLevel="0" collapsed="false">
      <c r="A28" s="27" t="n">
        <v>51</v>
      </c>
      <c r="B28" s="27" t="n">
        <v>5</v>
      </c>
      <c r="C28" s="27" t="n">
        <v>1</v>
      </c>
      <c r="D28" s="28" t="n">
        <v>0</v>
      </c>
      <c r="E28" s="28" t="n">
        <v>180000</v>
      </c>
      <c r="F28" s="29" t="n">
        <v>0.155</v>
      </c>
      <c r="G28" s="28" t="n">
        <v>0</v>
      </c>
      <c r="H28" s="29" t="n">
        <v>0.1715</v>
      </c>
    </row>
    <row r="29" customFormat="false" ht="15" hidden="false" customHeight="false" outlineLevel="0" collapsed="false">
      <c r="A29" s="31" t="n">
        <v>52</v>
      </c>
      <c r="B29" s="31" t="n">
        <v>5</v>
      </c>
      <c r="C29" s="31" t="n">
        <v>2</v>
      </c>
      <c r="D29" s="30" t="n">
        <v>180000</v>
      </c>
      <c r="E29" s="30" t="n">
        <v>360000</v>
      </c>
      <c r="F29" s="32" t="n">
        <v>0.18</v>
      </c>
      <c r="G29" s="30" t="n">
        <v>4500</v>
      </c>
      <c r="H29" s="32" t="n">
        <v>0.1715</v>
      </c>
    </row>
    <row r="30" customFormat="false" ht="15" hidden="false" customHeight="false" outlineLevel="0" collapsed="false">
      <c r="A30" s="31" t="n">
        <v>53</v>
      </c>
      <c r="B30" s="31" t="n">
        <v>5</v>
      </c>
      <c r="C30" s="31" t="n">
        <v>3</v>
      </c>
      <c r="D30" s="30" t="n">
        <v>360000</v>
      </c>
      <c r="E30" s="30" t="n">
        <v>720000</v>
      </c>
      <c r="F30" s="32" t="n">
        <v>0.195</v>
      </c>
      <c r="G30" s="30" t="n">
        <v>9900</v>
      </c>
      <c r="H30" s="32" t="n">
        <v>0.1815</v>
      </c>
    </row>
    <row r="31" customFormat="false" ht="15" hidden="false" customHeight="false" outlineLevel="0" collapsed="false">
      <c r="A31" s="31" t="n">
        <v>54</v>
      </c>
      <c r="B31" s="31" t="n">
        <v>5</v>
      </c>
      <c r="C31" s="31" t="n">
        <v>4</v>
      </c>
      <c r="D31" s="30" t="n">
        <v>720000</v>
      </c>
      <c r="E31" s="30" t="n">
        <v>1800000</v>
      </c>
      <c r="F31" s="32" t="n">
        <v>0.205</v>
      </c>
      <c r="G31" s="30" t="n">
        <v>17100</v>
      </c>
      <c r="H31" s="32" t="n">
        <v>0.1915</v>
      </c>
    </row>
    <row r="32" customFormat="false" ht="15" hidden="false" customHeight="false" outlineLevel="0" collapsed="false">
      <c r="A32" s="31" t="n">
        <v>55</v>
      </c>
      <c r="B32" s="31" t="n">
        <v>5</v>
      </c>
      <c r="C32" s="31" t="n">
        <v>5</v>
      </c>
      <c r="D32" s="30" t="n">
        <v>1800000</v>
      </c>
      <c r="E32" s="30" t="n">
        <v>3600000</v>
      </c>
      <c r="F32" s="32" t="n">
        <v>0.23</v>
      </c>
      <c r="G32" s="30" t="n">
        <v>62100</v>
      </c>
      <c r="H32" s="32" t="n">
        <v>0.1715</v>
      </c>
    </row>
    <row r="33" customFormat="false" ht="15" hidden="false" customHeight="false" outlineLevel="0" collapsed="false">
      <c r="A33" s="31" t="n">
        <v>56</v>
      </c>
      <c r="B33" s="31" t="n">
        <v>5</v>
      </c>
      <c r="C33" s="31" t="n">
        <v>6</v>
      </c>
      <c r="D33" s="30" t="n">
        <v>3600000</v>
      </c>
      <c r="E33" s="30" t="n">
        <v>4800000</v>
      </c>
      <c r="F33" s="32" t="n">
        <v>0.305</v>
      </c>
      <c r="G33" s="30" t="n">
        <v>540000</v>
      </c>
      <c r="H33" s="32" t="n">
        <v>0.2</v>
      </c>
    </row>
    <row r="36" customFormat="false" ht="31.5" hidden="false" customHeight="true" outlineLevel="0" collapsed="false">
      <c r="A36" s="25" t="s">
        <v>60</v>
      </c>
      <c r="B36" s="25"/>
      <c r="C36" s="25"/>
      <c r="D36" s="25"/>
      <c r="E36" s="25"/>
      <c r="F36" s="25"/>
      <c r="G36" s="25"/>
      <c r="H36" s="25"/>
    </row>
  </sheetData>
  <mergeCells count="3">
    <mergeCell ref="A1:H1"/>
    <mergeCell ref="A2:H2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2026-08-01T19:08:04Z</dcterms:created>
  <dc:creator>openpyxl</dc:creator>
  <dc:description/>
  <dc:language>en-US</dc:language>
  <cp:lastModifiedBy/>
  <dcterms:modified xsi:type="dcterms:W3CDTF">2026-08-01T19:08:04Z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